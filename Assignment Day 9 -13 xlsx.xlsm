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okes\Downloads\analyst assigments\"/>
    </mc:Choice>
  </mc:AlternateContent>
  <xr:revisionPtr revIDLastSave="0" documentId="13_ncr:1_{FC532815-8C20-4AAC-85B3-522EC1F5F251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1" sheetId="1" r:id="rId1"/>
    <sheet name="2" sheetId="2" r:id="rId2"/>
    <sheet name="Sheet4" sheetId="8" r:id="rId3"/>
    <sheet name="Sheet2" sheetId="10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8" l="1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I3" i="8"/>
  <c r="I2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H2" i="8"/>
  <c r="F2" i="8"/>
  <c r="J9" i="1"/>
  <c r="H9" i="1"/>
</calcChain>
</file>

<file path=xl/sharedStrings.xml><?xml version="1.0" encoding="utf-8"?>
<sst xmlns="http://schemas.openxmlformats.org/spreadsheetml/2006/main" count="106" uniqueCount="33">
  <si>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</si>
  <si>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</si>
  <si>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</si>
  <si>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</si>
  <si>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</si>
  <si>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</si>
  <si>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</si>
  <si>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</si>
  <si>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</si>
  <si>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</si>
  <si>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</si>
  <si>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</si>
  <si>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</si>
  <si>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</si>
  <si>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</si>
  <si>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</si>
  <si>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</si>
  <si>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</si>
  <si>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</si>
  <si>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</si>
  <si>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</si>
  <si>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 percent</t>
  </si>
  <si>
    <t xml:space="preserve">  </t>
  </si>
  <si>
    <t>shortcut key = ctrl+n</t>
  </si>
  <si>
    <t>name</t>
  </si>
  <si>
    <t>gendre</t>
  </si>
  <si>
    <t>MALE</t>
  </si>
  <si>
    <t>akash</t>
  </si>
  <si>
    <t>rahu;l</t>
  </si>
  <si>
    <t>sakshi</t>
  </si>
  <si>
    <t>FEMALE</t>
  </si>
  <si>
    <t xml:space="preserve"> </t>
  </si>
  <si>
    <t>rohan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</si>
</sst>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-[$$-409]* #,##0.00_ ;_-[$$-409]* \-#,##0.00\ ;_-[$$-409]* &quot;-&quot;??_ ;_-@_ "/>
  </numFmts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9" fontId="0" fillId="0" borderId="1" xfId="1" applyFont="1" applyBorder="1"/>
    <xf numFmtId="164" fontId="0" fillId="0" borderId="1" xfId="2" applyNumberFormat="1" applyFont="1" applyBorder="1"/>
    <xf numFmtId="0" fontId="0" fillId="2" borderId="1" xfId="0" applyFill="1" applyBorder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63500</xdr:rowOff>
    </xdr:from>
    <xdr:to>
      <xdr:col>4</xdr:col>
      <xdr:colOff>69850</xdr:colOff>
      <xdr:row>1</xdr:row>
      <xdr:rowOff>133350</xdr:rowOff>
    </xdr:to>
    <xdr:sp macro="[0]!newform" textlink="">
      <xdr:nvSpPr>
        <xdr:cNvPr id="2" name="Rectangle 1">
          <a:extLst>
            <a:ext uri="{FF2B5EF4-FFF2-40B4-BE49-F238E27FC236}">
              <a16:creationId xmlns:a16="http://schemas.microsoft.com/office/drawing/2014/main" id="{CAF0E3F5-1B9C-6D6E-9721-437A7ADFEA3A}"/>
            </a:ext>
          </a:extLst>
        </xdr:cNvPr>
        <xdr:cNvSpPr/>
      </xdr:nvSpPr>
      <xdr:spPr>
        <a:xfrm>
          <a:off x="1270000" y="63500"/>
          <a:ext cx="1238250" cy="254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new joinee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C8" sqref="C8:J41"/>
    </sheetView>
  </sheetViews>
  <sheetFormatPr defaultRowHeight="14.5" x14ac:dyDescent="0.35"/>
  <cols>
    <col min="4" max="4" width="12" bestFit="1" customWidth="1"/>
    <col min="5" max="5" width="18" bestFit="1" customWidth="1"/>
    <col min="7" max="7" width="11.81640625" bestFit="1" customWidth="1"/>
    <col min="8" max="8" width="18" bestFit="1" customWidth="1"/>
    <col min="9" max="9" width="20.36328125" bestFit="1" customWidth="1"/>
  </cols>
  <sheetData>
    <row r="2" spans="3:10" x14ac:dyDescent="0.35">
      <c r="C2" s="1" t="s">
        <v>0</v>
      </c>
      <c r="I2" s="1" t="s">
        <v>19</v>
      </c>
    </row>
    <row r="3" spans="3:10" x14ac:dyDescent="0.35">
      <c r="C3" s="1" t="s">
        <v>1</v>
      </c>
    </row>
    <row r="4" spans="3:10" x14ac:dyDescent="0.35">
      <c r="C4" s="1" t="s">
        <v>16</v>
      </c>
    </row>
    <row r="5" spans="3:10" x14ac:dyDescent="0.35">
      <c r="C5" s="1" t="s">
        <v>17</v>
      </c>
      <c r="H5" t="s">
        <v>22</v>
      </c>
    </row>
    <row r="6" spans="3:10" x14ac:dyDescent="0.35">
      <c r="C6" s="1" t="s">
        <v>18</v>
      </c>
    </row>
    <row r="8" spans="3:10" x14ac:dyDescent="0.3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3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3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3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C4"/>
  <sheetViews>
    <sheetView workbookViewId="0">
      <selection activeCell="H6" sqref="H6"/>
    </sheetView>
  </sheetViews>
  <sheetFormatPr defaultRowHeight="14.5" x14ac:dyDescent="0.35"/>
  <sheetData>
    <row r="3" spans="3:3" x14ac:dyDescent="0.35">
      <c r="C3" s="1" t="s">
        <v>2</v>
      </c>
    </row>
    <row r="4" spans="3:3" x14ac:dyDescent="0.35">
      <c r="C4" s="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CB5D-90DE-4AE7-A548-DD64AABF24C5}">
  <sheetPr codeName="Sheet6"/>
  <dimension ref="A1:I37"/>
  <sheetViews>
    <sheetView topLeftCell="A31" workbookViewId="0">
      <selection activeCell="E45" sqref="E45"/>
    </sheetView>
  </sheetViews>
  <sheetFormatPr defaultRowHeight="14.5" x14ac:dyDescent="0.35"/>
  <cols>
    <col min="2" max="2" width="12.1796875" bestFit="1" customWidth="1"/>
    <col min="3" max="3" width="15.26953125" bestFit="1" customWidth="1"/>
    <col min="4" max="4" width="10.1796875" bestFit="1" customWidth="1"/>
    <col min="5" max="6" width="12.08984375" bestFit="1" customWidth="1"/>
    <col min="7" max="7" width="20.90625" bestFit="1" customWidth="1"/>
    <col min="8" max="8" width="8.81640625" bestFit="1" customWidth="1"/>
    <col min="9" max="9" width="12.26953125" bestFit="1" customWidth="1"/>
  </cols>
  <sheetData>
    <row r="1" spans="1:9" x14ac:dyDescent="0.35">
      <c r="A1" s="5" t="s">
        <v>3</v>
      </c>
      <c r="B1" s="5" t="s">
        <v>4</v>
      </c>
      <c r="C1" s="5" t="s">
        <v>11</v>
      </c>
      <c r="D1" s="5" t="s">
        <v>12</v>
      </c>
      <c r="E1" s="5" t="s">
        <v>13</v>
      </c>
      <c r="F1" s="5" t="s">
        <v>14</v>
      </c>
      <c r="G1" s="5" t="s">
        <v>15</v>
      </c>
      <c r="H1" s="5" t="s">
        <v>10</v>
      </c>
      <c r="I1" s="5" t="s">
        <v>21</v>
      </c>
    </row>
    <row r="2" spans="1:9" x14ac:dyDescent="0.35">
      <c r="A2" s="2">
        <v>20847</v>
      </c>
      <c r="B2" s="2" t="s">
        <v>5</v>
      </c>
      <c r="C2" s="2">
        <v>4</v>
      </c>
      <c r="D2" s="4">
        <v>2.84</v>
      </c>
      <c r="E2" s="4">
        <v>0.93</v>
      </c>
      <c r="F2" s="4">
        <f>(C2*D2)+E2</f>
        <v>12.29</v>
      </c>
      <c r="G2" s="4">
        <v>0.54</v>
      </c>
      <c r="H2" s="4">
        <f>G2*C2-E2</f>
        <v>1.23</v>
      </c>
      <c r="I2" s="3">
        <f>H2/F2</f>
        <v>0.10008136696501221</v>
      </c>
    </row>
    <row r="3" spans="1:9" x14ac:dyDescent="0.35">
      <c r="A3" s="2">
        <v>20228</v>
      </c>
      <c r="B3" s="2" t="s">
        <v>6</v>
      </c>
      <c r="C3" s="2">
        <v>12</v>
      </c>
      <c r="D3" s="4">
        <v>500.98</v>
      </c>
      <c r="E3" s="4">
        <v>26</v>
      </c>
      <c r="F3" s="4">
        <f t="shared" ref="F3:F34" si="0">(C3*D3)+E3</f>
        <v>6037.76</v>
      </c>
      <c r="G3" s="4">
        <v>0.6</v>
      </c>
      <c r="H3" s="4">
        <f t="shared" ref="H3:H34" si="1">G3*C3-E3</f>
        <v>-18.8</v>
      </c>
      <c r="I3" s="3">
        <f t="shared" ref="I3:I34" si="2">H3/F3</f>
        <v>-3.1137375450498196E-3</v>
      </c>
    </row>
    <row r="4" spans="1:9" x14ac:dyDescent="0.35">
      <c r="A4" s="2">
        <v>21776</v>
      </c>
      <c r="B4" s="2" t="s">
        <v>7</v>
      </c>
      <c r="C4" s="2">
        <v>22</v>
      </c>
      <c r="D4" s="4">
        <v>9.48</v>
      </c>
      <c r="E4" s="4">
        <v>7.29</v>
      </c>
      <c r="F4" s="4">
        <f t="shared" si="0"/>
        <v>215.85</v>
      </c>
      <c r="G4" s="4">
        <v>0.45</v>
      </c>
      <c r="H4" s="4">
        <f t="shared" si="1"/>
        <v>2.6100000000000003</v>
      </c>
      <c r="I4" s="3">
        <f t="shared" si="2"/>
        <v>1.209173036831133E-2</v>
      </c>
    </row>
    <row r="5" spans="1:9" x14ac:dyDescent="0.35">
      <c r="A5" s="2">
        <v>24844</v>
      </c>
      <c r="B5" s="2" t="s">
        <v>8</v>
      </c>
      <c r="C5" s="2">
        <v>16</v>
      </c>
      <c r="D5" s="4">
        <v>78.69</v>
      </c>
      <c r="E5" s="4">
        <v>19.989999999999998</v>
      </c>
      <c r="F5" s="4">
        <f t="shared" si="0"/>
        <v>1279.03</v>
      </c>
      <c r="G5" s="4">
        <v>0.43</v>
      </c>
      <c r="H5" s="4">
        <f t="shared" si="1"/>
        <v>-13.11</v>
      </c>
      <c r="I5" s="3">
        <f t="shared" si="2"/>
        <v>-1.0249955044056824E-2</v>
      </c>
    </row>
    <row r="6" spans="1:9" x14ac:dyDescent="0.35">
      <c r="A6" s="2">
        <v>24846</v>
      </c>
      <c r="B6" s="2" t="s">
        <v>8</v>
      </c>
      <c r="C6" s="2">
        <v>7</v>
      </c>
      <c r="D6" s="4">
        <v>3.28</v>
      </c>
      <c r="E6" s="4">
        <v>2.31</v>
      </c>
      <c r="F6" s="4">
        <f t="shared" si="0"/>
        <v>25.269999999999996</v>
      </c>
      <c r="G6" s="4">
        <v>0.56000000000000005</v>
      </c>
      <c r="H6" s="4">
        <f t="shared" si="1"/>
        <v>1.6100000000000003</v>
      </c>
      <c r="I6" s="3">
        <f t="shared" si="2"/>
        <v>6.3711911357340736E-2</v>
      </c>
    </row>
    <row r="7" spans="1:9" x14ac:dyDescent="0.35">
      <c r="A7" s="2">
        <v>24847</v>
      </c>
      <c r="B7" s="2" t="s">
        <v>8</v>
      </c>
      <c r="C7" s="2">
        <v>4</v>
      </c>
      <c r="D7" s="4">
        <v>3.28</v>
      </c>
      <c r="E7" s="4">
        <v>4.2</v>
      </c>
      <c r="F7" s="4">
        <f t="shared" si="0"/>
        <v>17.32</v>
      </c>
      <c r="G7" s="4">
        <v>0.56000000000000005</v>
      </c>
      <c r="H7" s="4">
        <f t="shared" si="1"/>
        <v>-1.96</v>
      </c>
      <c r="I7" s="3">
        <f t="shared" si="2"/>
        <v>-0.11316397228637413</v>
      </c>
    </row>
    <row r="8" spans="1:9" x14ac:dyDescent="0.35">
      <c r="A8" s="2">
        <v>24848</v>
      </c>
      <c r="B8" s="2" t="s">
        <v>8</v>
      </c>
      <c r="C8" s="2">
        <v>4</v>
      </c>
      <c r="D8" s="4">
        <v>3.58</v>
      </c>
      <c r="E8" s="4">
        <v>1.63</v>
      </c>
      <c r="F8" s="4">
        <f t="shared" si="0"/>
        <v>15.95</v>
      </c>
      <c r="G8" s="4">
        <v>0.36</v>
      </c>
      <c r="H8" s="4">
        <f t="shared" si="1"/>
        <v>-0.18999999999999995</v>
      </c>
      <c r="I8" s="3">
        <f t="shared" si="2"/>
        <v>-1.1912225705329151E-2</v>
      </c>
    </row>
    <row r="9" spans="1:9" x14ac:dyDescent="0.35">
      <c r="A9" s="2">
        <v>18181</v>
      </c>
      <c r="B9" s="2" t="s">
        <v>7</v>
      </c>
      <c r="C9" s="2">
        <v>7</v>
      </c>
      <c r="D9" s="4">
        <v>4.42</v>
      </c>
      <c r="E9" s="4">
        <v>4.99</v>
      </c>
      <c r="F9" s="4">
        <f t="shared" si="0"/>
        <v>35.93</v>
      </c>
      <c r="G9" s="4">
        <v>0.38</v>
      </c>
      <c r="H9" s="4">
        <f t="shared" si="1"/>
        <v>-2.33</v>
      </c>
      <c r="I9" s="3">
        <f t="shared" si="2"/>
        <v>-6.4848316170331197E-2</v>
      </c>
    </row>
    <row r="10" spans="1:9" x14ac:dyDescent="0.35">
      <c r="A10" s="2">
        <v>20925</v>
      </c>
      <c r="B10" s="2" t="s">
        <v>8</v>
      </c>
      <c r="C10" s="2">
        <v>10</v>
      </c>
      <c r="D10" s="4">
        <v>35.94</v>
      </c>
      <c r="E10" s="4">
        <v>6.66</v>
      </c>
      <c r="F10" s="4">
        <f t="shared" si="0"/>
        <v>366.06</v>
      </c>
      <c r="G10" s="4">
        <v>0.4</v>
      </c>
      <c r="H10" s="4">
        <f t="shared" si="1"/>
        <v>-2.66</v>
      </c>
      <c r="I10" s="3">
        <f t="shared" si="2"/>
        <v>-7.2665683221329836E-3</v>
      </c>
    </row>
    <row r="11" spans="1:9" x14ac:dyDescent="0.35">
      <c r="A11" s="2">
        <v>26267</v>
      </c>
      <c r="B11" s="2" t="s">
        <v>5</v>
      </c>
      <c r="C11" s="2">
        <v>6</v>
      </c>
      <c r="D11" s="4">
        <v>2.98</v>
      </c>
      <c r="E11" s="4">
        <v>1.58</v>
      </c>
      <c r="F11" s="4">
        <f t="shared" si="0"/>
        <v>19.46</v>
      </c>
      <c r="G11" s="4">
        <v>0.39</v>
      </c>
      <c r="H11" s="4">
        <f t="shared" si="1"/>
        <v>0.75999999999999979</v>
      </c>
      <c r="I11" s="3">
        <f t="shared" si="2"/>
        <v>3.9054470709146957E-2</v>
      </c>
    </row>
    <row r="12" spans="1:9" x14ac:dyDescent="0.35">
      <c r="A12" s="2">
        <v>26268</v>
      </c>
      <c r="B12" s="2" t="s">
        <v>5</v>
      </c>
      <c r="C12" s="2">
        <v>10</v>
      </c>
      <c r="D12" s="4">
        <v>115.99</v>
      </c>
      <c r="E12" s="4">
        <v>2.5</v>
      </c>
      <c r="F12" s="4">
        <f t="shared" si="0"/>
        <v>1162.3999999999999</v>
      </c>
      <c r="G12" s="4">
        <v>0.55000000000000004</v>
      </c>
      <c r="H12" s="4">
        <f t="shared" si="1"/>
        <v>3</v>
      </c>
      <c r="I12" s="3">
        <f t="shared" si="2"/>
        <v>2.5808671713695806E-3</v>
      </c>
    </row>
    <row r="13" spans="1:9" x14ac:dyDescent="0.35">
      <c r="A13" s="2">
        <v>23890</v>
      </c>
      <c r="B13" s="2" t="s">
        <v>5</v>
      </c>
      <c r="C13" s="2">
        <v>17</v>
      </c>
      <c r="D13" s="4">
        <v>26.48</v>
      </c>
      <c r="E13" s="4">
        <v>6.93</v>
      </c>
      <c r="F13" s="4">
        <f t="shared" si="0"/>
        <v>457.09000000000003</v>
      </c>
      <c r="G13" s="4">
        <v>0.49</v>
      </c>
      <c r="H13" s="4">
        <f t="shared" si="1"/>
        <v>1.4000000000000004</v>
      </c>
      <c r="I13" s="3">
        <f t="shared" si="2"/>
        <v>3.0628541425102283E-3</v>
      </c>
    </row>
    <row r="14" spans="1:9" x14ac:dyDescent="0.35">
      <c r="A14" s="2">
        <v>24063</v>
      </c>
      <c r="B14" s="2" t="s">
        <v>6</v>
      </c>
      <c r="C14" s="2">
        <v>18</v>
      </c>
      <c r="D14" s="4">
        <v>12.99</v>
      </c>
      <c r="E14" s="4">
        <v>9.44</v>
      </c>
      <c r="F14" s="4">
        <f t="shared" si="0"/>
        <v>243.26</v>
      </c>
      <c r="G14" s="4">
        <v>0.39</v>
      </c>
      <c r="H14" s="4">
        <f t="shared" si="1"/>
        <v>-2.419999999999999</v>
      </c>
      <c r="I14" s="3">
        <f t="shared" si="2"/>
        <v>-9.9482035681986315E-3</v>
      </c>
    </row>
    <row r="15" spans="1:9" x14ac:dyDescent="0.35">
      <c r="A15" s="2">
        <v>5890</v>
      </c>
      <c r="B15" s="2" t="s">
        <v>5</v>
      </c>
      <c r="C15" s="2">
        <v>70</v>
      </c>
      <c r="D15" s="4">
        <v>26.48</v>
      </c>
      <c r="E15" s="4">
        <v>6.93</v>
      </c>
      <c r="F15" s="4">
        <f t="shared" si="0"/>
        <v>1860.5300000000002</v>
      </c>
      <c r="G15" s="4">
        <v>0.49</v>
      </c>
      <c r="H15" s="4">
        <f t="shared" si="1"/>
        <v>27.369999999999997</v>
      </c>
      <c r="I15" s="3">
        <f t="shared" si="2"/>
        <v>1.4710861958689187E-2</v>
      </c>
    </row>
    <row r="16" spans="1:9" x14ac:dyDescent="0.35">
      <c r="A16" s="2">
        <v>6062</v>
      </c>
      <c r="B16" s="2" t="s">
        <v>6</v>
      </c>
      <c r="C16" s="2">
        <v>58</v>
      </c>
      <c r="D16" s="4">
        <v>5</v>
      </c>
      <c r="E16" s="4">
        <v>3.39</v>
      </c>
      <c r="F16" s="4">
        <f t="shared" si="0"/>
        <v>293.39</v>
      </c>
      <c r="G16" s="4">
        <v>0.37</v>
      </c>
      <c r="H16" s="4">
        <f t="shared" si="1"/>
        <v>18.07</v>
      </c>
      <c r="I16" s="3">
        <f t="shared" si="2"/>
        <v>6.1590374586727566E-2</v>
      </c>
    </row>
    <row r="17" spans="1:9" x14ac:dyDescent="0.35">
      <c r="A17" s="2">
        <v>6063</v>
      </c>
      <c r="B17" s="2" t="s">
        <v>6</v>
      </c>
      <c r="C17" s="2">
        <v>71</v>
      </c>
      <c r="D17" s="4">
        <v>12.99</v>
      </c>
      <c r="E17" s="4">
        <v>9.44</v>
      </c>
      <c r="F17" s="4">
        <f t="shared" si="0"/>
        <v>931.73</v>
      </c>
      <c r="G17" s="4">
        <v>0.39</v>
      </c>
      <c r="H17" s="4">
        <f t="shared" si="1"/>
        <v>18.25</v>
      </c>
      <c r="I17" s="3">
        <f t="shared" si="2"/>
        <v>1.958721947345261E-2</v>
      </c>
    </row>
    <row r="18" spans="1:9" x14ac:dyDescent="0.35">
      <c r="A18" s="2">
        <v>20631</v>
      </c>
      <c r="B18" s="2" t="s">
        <v>5</v>
      </c>
      <c r="C18" s="2">
        <v>1</v>
      </c>
      <c r="D18" s="4">
        <v>55.48</v>
      </c>
      <c r="E18" s="4">
        <v>14.3</v>
      </c>
      <c r="F18" s="4">
        <f t="shared" si="0"/>
        <v>69.78</v>
      </c>
      <c r="G18" s="4">
        <v>0.37</v>
      </c>
      <c r="H18" s="4">
        <f t="shared" si="1"/>
        <v>-13.930000000000001</v>
      </c>
      <c r="I18" s="3">
        <f t="shared" si="2"/>
        <v>-0.19962740040126112</v>
      </c>
    </row>
    <row r="19" spans="1:9" x14ac:dyDescent="0.35">
      <c r="A19" s="2">
        <v>20632</v>
      </c>
      <c r="B19" s="2" t="s">
        <v>5</v>
      </c>
      <c r="C19" s="2">
        <v>1</v>
      </c>
      <c r="D19" s="4">
        <v>1.68</v>
      </c>
      <c r="E19" s="4">
        <v>1.57</v>
      </c>
      <c r="F19" s="4">
        <f t="shared" si="0"/>
        <v>3.25</v>
      </c>
      <c r="G19" s="4">
        <v>0.59</v>
      </c>
      <c r="H19" s="4">
        <f t="shared" si="1"/>
        <v>-0.98000000000000009</v>
      </c>
      <c r="I19" s="3">
        <f t="shared" si="2"/>
        <v>-0.30153846153846159</v>
      </c>
    </row>
    <row r="20" spans="1:9" x14ac:dyDescent="0.35">
      <c r="A20" s="2">
        <v>23967</v>
      </c>
      <c r="B20" s="2" t="s">
        <v>6</v>
      </c>
      <c r="C20" s="2">
        <v>12</v>
      </c>
      <c r="D20" s="4">
        <v>4.1399999999999997</v>
      </c>
      <c r="E20" s="4">
        <v>6.6</v>
      </c>
      <c r="F20" s="4">
        <f t="shared" si="0"/>
        <v>56.279999999999994</v>
      </c>
      <c r="G20" s="4">
        <v>0.49</v>
      </c>
      <c r="H20" s="4">
        <f t="shared" si="1"/>
        <v>-0.71999999999999975</v>
      </c>
      <c r="I20" s="3">
        <f t="shared" si="2"/>
        <v>-1.2793176972281446E-2</v>
      </c>
    </row>
    <row r="21" spans="1:9" x14ac:dyDescent="0.35">
      <c r="A21" s="2">
        <v>23509</v>
      </c>
      <c r="B21" s="2" t="s">
        <v>5</v>
      </c>
      <c r="C21" s="2">
        <v>13</v>
      </c>
      <c r="D21" s="4">
        <v>34.99</v>
      </c>
      <c r="E21" s="4">
        <v>7.73</v>
      </c>
      <c r="F21" s="4">
        <f t="shared" si="0"/>
        <v>462.6</v>
      </c>
      <c r="G21" s="4">
        <v>0.59</v>
      </c>
      <c r="H21" s="4">
        <f t="shared" si="1"/>
        <v>-6.0000000000000497E-2</v>
      </c>
      <c r="I21" s="3">
        <f t="shared" si="2"/>
        <v>-1.2970168612192064E-4</v>
      </c>
    </row>
    <row r="22" spans="1:9" x14ac:dyDescent="0.35">
      <c r="A22" s="2">
        <v>23612</v>
      </c>
      <c r="B22" s="2" t="s">
        <v>5</v>
      </c>
      <c r="C22" s="2">
        <v>2</v>
      </c>
      <c r="D22" s="4">
        <v>17.98</v>
      </c>
      <c r="E22" s="4">
        <v>8.51</v>
      </c>
      <c r="F22" s="4">
        <f t="shared" si="0"/>
        <v>44.47</v>
      </c>
      <c r="G22" s="4">
        <v>0.4</v>
      </c>
      <c r="H22" s="4">
        <f t="shared" si="1"/>
        <v>-7.71</v>
      </c>
      <c r="I22" s="3">
        <f t="shared" si="2"/>
        <v>-0.17337530919721161</v>
      </c>
    </row>
    <row r="23" spans="1:9" x14ac:dyDescent="0.35">
      <c r="A23" s="2">
        <v>23278</v>
      </c>
      <c r="B23" s="2" t="s">
        <v>8</v>
      </c>
      <c r="C23" s="2">
        <v>8</v>
      </c>
      <c r="D23" s="4">
        <v>125.99</v>
      </c>
      <c r="E23" s="4">
        <v>7.69</v>
      </c>
      <c r="F23" s="4">
        <f t="shared" si="0"/>
        <v>1015.61</v>
      </c>
      <c r="G23" s="4">
        <v>0.59</v>
      </c>
      <c r="H23" s="4">
        <f t="shared" si="1"/>
        <v>-2.9700000000000006</v>
      </c>
      <c r="I23" s="3">
        <f t="shared" si="2"/>
        <v>-2.9243508827207299E-3</v>
      </c>
    </row>
    <row r="24" spans="1:9" x14ac:dyDescent="0.35">
      <c r="A24" s="2">
        <v>19355</v>
      </c>
      <c r="B24" s="2" t="s">
        <v>9</v>
      </c>
      <c r="C24" s="2">
        <v>22</v>
      </c>
      <c r="D24" s="4">
        <v>205.99</v>
      </c>
      <c r="E24" s="4">
        <v>8.99</v>
      </c>
      <c r="F24" s="4">
        <f t="shared" si="0"/>
        <v>4540.7700000000004</v>
      </c>
      <c r="G24" s="4">
        <v>0.56000000000000005</v>
      </c>
      <c r="H24" s="4">
        <f t="shared" si="1"/>
        <v>3.33</v>
      </c>
      <c r="I24" s="3">
        <f t="shared" si="2"/>
        <v>7.3335579648385618E-4</v>
      </c>
    </row>
    <row r="25" spans="1:9" x14ac:dyDescent="0.35">
      <c r="A25" s="2">
        <v>23654</v>
      </c>
      <c r="B25" s="2" t="s">
        <v>6</v>
      </c>
      <c r="C25" s="2">
        <v>13</v>
      </c>
      <c r="D25" s="4">
        <v>4.24</v>
      </c>
      <c r="E25" s="4">
        <v>5.41</v>
      </c>
      <c r="F25" s="4">
        <f t="shared" si="0"/>
        <v>60.53</v>
      </c>
      <c r="G25" s="4">
        <v>0.35</v>
      </c>
      <c r="H25" s="4">
        <f t="shared" si="1"/>
        <v>-0.86000000000000032</v>
      </c>
      <c r="I25" s="3">
        <f t="shared" si="2"/>
        <v>-1.4207830827688754E-2</v>
      </c>
    </row>
    <row r="26" spans="1:9" x14ac:dyDescent="0.35">
      <c r="A26" s="2">
        <v>23655</v>
      </c>
      <c r="B26" s="2" t="s">
        <v>6</v>
      </c>
      <c r="C26" s="2">
        <v>18</v>
      </c>
      <c r="D26" s="4">
        <v>2.94</v>
      </c>
      <c r="E26" s="4">
        <v>0.7</v>
      </c>
      <c r="F26" s="4">
        <f t="shared" si="0"/>
        <v>53.620000000000005</v>
      </c>
      <c r="G26" s="4">
        <v>0.57999999999999996</v>
      </c>
      <c r="H26" s="4">
        <f t="shared" si="1"/>
        <v>9.74</v>
      </c>
      <c r="I26" s="3">
        <f t="shared" si="2"/>
        <v>0.18164863856769861</v>
      </c>
    </row>
    <row r="27" spans="1:9" x14ac:dyDescent="0.35">
      <c r="A27" s="2">
        <v>25933</v>
      </c>
      <c r="B27" s="2" t="s">
        <v>5</v>
      </c>
      <c r="C27" s="2">
        <v>6</v>
      </c>
      <c r="D27" s="4">
        <v>99.99</v>
      </c>
      <c r="E27" s="4">
        <v>19.989999999999998</v>
      </c>
      <c r="F27" s="4">
        <f t="shared" si="0"/>
        <v>619.92999999999995</v>
      </c>
      <c r="G27" s="4">
        <v>0.52</v>
      </c>
      <c r="H27" s="4">
        <f t="shared" si="1"/>
        <v>-16.869999999999997</v>
      </c>
      <c r="I27" s="3">
        <f t="shared" si="2"/>
        <v>-2.7212749826593323E-2</v>
      </c>
    </row>
    <row r="28" spans="1:9" x14ac:dyDescent="0.35">
      <c r="A28" s="2">
        <v>20697</v>
      </c>
      <c r="B28" s="2" t="s">
        <v>8</v>
      </c>
      <c r="C28" s="2">
        <v>6</v>
      </c>
      <c r="D28" s="4">
        <v>115.99</v>
      </c>
      <c r="E28" s="4">
        <v>2.5</v>
      </c>
      <c r="F28" s="4">
        <f t="shared" si="0"/>
        <v>698.43999999999994</v>
      </c>
      <c r="G28" s="4">
        <v>0.56999999999999995</v>
      </c>
      <c r="H28" s="4">
        <f t="shared" si="1"/>
        <v>0.91999999999999993</v>
      </c>
      <c r="I28" s="3">
        <f t="shared" si="2"/>
        <v>1.3172212358971422E-3</v>
      </c>
    </row>
    <row r="29" spans="1:9" x14ac:dyDescent="0.35">
      <c r="A29" s="2">
        <v>20698</v>
      </c>
      <c r="B29" s="2" t="s">
        <v>8</v>
      </c>
      <c r="C29" s="2">
        <v>1</v>
      </c>
      <c r="D29" s="4">
        <v>3502.14</v>
      </c>
      <c r="E29" s="4">
        <v>8.73</v>
      </c>
      <c r="F29" s="4">
        <f t="shared" si="0"/>
        <v>3510.87</v>
      </c>
      <c r="G29" s="4">
        <v>0.56999999999999995</v>
      </c>
      <c r="H29" s="4">
        <f t="shared" si="1"/>
        <v>-8.16</v>
      </c>
      <c r="I29" s="3">
        <f t="shared" si="2"/>
        <v>-2.3242102384878963E-3</v>
      </c>
    </row>
    <row r="30" spans="1:9" x14ac:dyDescent="0.35">
      <c r="A30" s="2">
        <v>22890</v>
      </c>
      <c r="B30" s="2" t="s">
        <v>5</v>
      </c>
      <c r="C30" s="2">
        <v>17</v>
      </c>
      <c r="D30" s="4">
        <v>175.99</v>
      </c>
      <c r="E30" s="4">
        <v>5.79</v>
      </c>
      <c r="F30" s="4">
        <f t="shared" si="0"/>
        <v>2997.62</v>
      </c>
      <c r="G30" s="4">
        <v>0.36</v>
      </c>
      <c r="H30" s="4">
        <f t="shared" si="1"/>
        <v>0.33000000000000007</v>
      </c>
      <c r="I30" s="3">
        <f t="shared" si="2"/>
        <v>1.1008733595318956E-4</v>
      </c>
    </row>
    <row r="31" spans="1:9" x14ac:dyDescent="0.35">
      <c r="A31" s="2">
        <v>25354</v>
      </c>
      <c r="B31" s="2" t="s">
        <v>5</v>
      </c>
      <c r="C31" s="2">
        <v>20</v>
      </c>
      <c r="D31" s="4">
        <v>155.06</v>
      </c>
      <c r="E31" s="4">
        <v>1.49</v>
      </c>
      <c r="F31" s="4">
        <f t="shared" si="0"/>
        <v>3102.6899999999996</v>
      </c>
      <c r="G31" s="4">
        <v>0.38</v>
      </c>
      <c r="H31" s="4">
        <f t="shared" si="1"/>
        <v>6.1099999999999994</v>
      </c>
      <c r="I31" s="3">
        <f t="shared" si="2"/>
        <v>1.9692589333771661E-3</v>
      </c>
    </row>
    <row r="32" spans="1:9" x14ac:dyDescent="0.35">
      <c r="A32" s="2">
        <v>21017</v>
      </c>
      <c r="B32" s="2" t="s">
        <v>6</v>
      </c>
      <c r="C32" s="2">
        <v>17</v>
      </c>
      <c r="D32" s="4">
        <v>5.98</v>
      </c>
      <c r="E32" s="4">
        <v>0.7</v>
      </c>
      <c r="F32" s="4">
        <f t="shared" si="0"/>
        <v>102.36000000000001</v>
      </c>
      <c r="G32" s="4">
        <v>0.56000000000000005</v>
      </c>
      <c r="H32" s="4">
        <f t="shared" si="1"/>
        <v>8.8200000000000021</v>
      </c>
      <c r="I32" s="3">
        <f t="shared" si="2"/>
        <v>8.616647127784291E-2</v>
      </c>
    </row>
    <row r="33" spans="1:9" x14ac:dyDescent="0.35">
      <c r="A33" s="2">
        <v>21019</v>
      </c>
      <c r="B33" s="2" t="s">
        <v>6</v>
      </c>
      <c r="C33" s="2">
        <v>3</v>
      </c>
      <c r="D33" s="4">
        <v>29.14</v>
      </c>
      <c r="E33" s="4">
        <v>5.15</v>
      </c>
      <c r="F33" s="4">
        <f t="shared" si="0"/>
        <v>92.570000000000007</v>
      </c>
      <c r="G33" s="4">
        <v>0.36</v>
      </c>
      <c r="H33" s="4">
        <f t="shared" si="1"/>
        <v>-4.07</v>
      </c>
      <c r="I33" s="3">
        <f t="shared" si="2"/>
        <v>-4.3966727881603114E-2</v>
      </c>
    </row>
    <row r="34" spans="1:9" x14ac:dyDescent="0.35">
      <c r="A34" s="2">
        <v>23274</v>
      </c>
      <c r="B34" s="2" t="s">
        <v>9</v>
      </c>
      <c r="C34" s="2">
        <v>17</v>
      </c>
      <c r="D34" s="4">
        <v>3.69</v>
      </c>
      <c r="E34" s="4">
        <v>4.8600000000000003</v>
      </c>
      <c r="F34" s="4">
        <f t="shared" si="0"/>
        <v>67.59</v>
      </c>
      <c r="G34" s="4">
        <v>0.38</v>
      </c>
      <c r="H34" s="4">
        <f t="shared" si="1"/>
        <v>1.5999999999999996</v>
      </c>
      <c r="I34" s="3">
        <f t="shared" si="2"/>
        <v>2.3672140849238046E-2</v>
      </c>
    </row>
    <row r="37" spans="1:9" ht="18.5" x14ac:dyDescent="0.45">
      <c r="B37" s="6" t="s">
        <v>23</v>
      </c>
      <c r="C37" s="6"/>
    </row>
  </sheetData>
  <mergeCells count="1">
    <mergeCell ref="B37:C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EC8AA-CC87-4141-85FC-E5EEB18D5FC8}">
  <sheetPr codeName="Sheet2"/>
  <dimension ref="A1:G6"/>
  <sheetViews>
    <sheetView tabSelected="1" workbookViewId="0">
      <selection activeCell="I3" sqref="I3"/>
    </sheetView>
  </sheetViews>
  <sheetFormatPr defaultRowHeight="14.5" x14ac:dyDescent="0.35"/>
  <sheetData>
    <row r="1" spans="1:7" x14ac:dyDescent="0.35">
      <c r="A1" s="7" t="s">
        <v>24</v>
      </c>
      <c r="B1" s="7" t="s">
        <v>25</v>
      </c>
      <c r="C1" s="8"/>
      <c r="D1" s="8"/>
    </row>
    <row r="2" spans="1:7" x14ac:dyDescent="0.35">
      <c r="A2" t="s">
        <v>27</v>
      </c>
      <c r="B2" s="8" t="s">
        <v>26</v>
      </c>
      <c r="C2" s="8"/>
      <c r="D2" s="8"/>
    </row>
    <row r="3" spans="1:7" x14ac:dyDescent="0.35">
      <c r="A3" t="s">
        <v>28</v>
      </c>
      <c r="B3" s="8" t="s">
        <v>26</v>
      </c>
      <c r="C3" s="8"/>
      <c r="D3" s="8"/>
    </row>
    <row r="4" spans="1:7" x14ac:dyDescent="0.35">
      <c r="A4" t="s">
        <v>29</v>
      </c>
      <c r="B4" t="s">
        <v>30</v>
      </c>
    </row>
    <row r="5" spans="1:7" x14ac:dyDescent="0.35">
      <c r="A5" t="s">
        <v>27</v>
      </c>
      <c r="B5" t="s">
        <v>26</v>
      </c>
    </row>
    <row r="6" spans="1:7" x14ac:dyDescent="0.35">
      <c r="A6" t="s">
        <v>32</v>
      </c>
      <c r="B6" t="s">
        <v>26</v>
      </c>
      <c r="G6" t="s">
        <v>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2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AKASH</cp:lastModifiedBy>
  <dcterms:created xsi:type="dcterms:W3CDTF">2015-06-05T18:17:20Z</dcterms:created>
  <dcterms:modified xsi:type="dcterms:W3CDTF">2023-10-02T15:22:51Z</dcterms:modified>
</cp:coreProperties>
</file>